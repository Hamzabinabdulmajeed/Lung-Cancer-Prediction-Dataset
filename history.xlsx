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I project\Lung Cancer Prediction Dataset\Lung Cancer Prediction Dataset\Lung-Cancer-Prediction-Dataset\"/>
    </mc:Choice>
  </mc:AlternateContent>
  <xr:revisionPtr revIDLastSave="0" documentId="13_ncr:1_{E3EC5D34-591E-462E-A2F1-D94C89B2F5D4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EDA" sheetId="1" r:id="rId1"/>
    <sheet name="Modelling" sheetId="2" r:id="rId2"/>
    <sheet name="plan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<sst xmlns="http://schemas.openxmlformats.org/spreadsheetml/2006/main" count="137" uniqueCount="109">
  <si>
    <t>Std Dev</t>
  </si>
  <si>
    <t>Min</t>
  </si>
  <si>
    <t>Max</t>
  </si>
  <si>
    <t>Age</t>
  </si>
  <si>
    <t>Gender</t>
  </si>
  <si>
    <t>Smoking Years</t>
  </si>
  <si>
    <t>Pack Years</t>
  </si>
  <si>
    <t>CRP Level</t>
  </si>
  <si>
    <t>Lung Cancer Risk</t>
  </si>
  <si>
    <t>Descriptive Statistics for Numerical Variables</t>
  </si>
  <si>
    <t>Variable</t>
  </si>
  <si>
    <t>Mean</t>
  </si>
  <si>
    <t>Median (50%)</t>
  </si>
  <si>
    <t>Oxygen Saturation</t>
  </si>
  <si>
    <t>CRP Level (Inflammation)</t>
  </si>
  <si>
    <t>FEV1 (Lung Function)</t>
  </si>
  <si>
    <t>Comparison by Lung Cancer Risk (Numerical)</t>
  </si>
  <si>
    <t>Variable (Mean Values)</t>
  </si>
  <si>
    <t>Risk: No</t>
  </si>
  <si>
    <t>Risk: Yes</t>
  </si>
  <si>
    <t>Cigarettes per Day</t>
  </si>
  <si>
    <t>Frequencies for Categorical Variables</t>
  </si>
  <si>
    <t>Category</t>
  </si>
  <si>
    <t>Count</t>
  </si>
  <si>
    <t>Percentage (%)</t>
  </si>
  <si>
    <t>Female</t>
  </si>
  <si>
    <t>Male</t>
  </si>
  <si>
    <t>Smoker</t>
  </si>
  <si>
    <t>No</t>
  </si>
  <si>
    <t>Yes</t>
  </si>
  <si>
    <t>COPD</t>
  </si>
  <si>
    <t>Strength of Association (Cramér's V)</t>
  </si>
  <si>
    <t>Predictor Variable</t>
  </si>
  <si>
    <t>Cramér's V with lung_cancer_risk</t>
  </si>
  <si>
    <t>X-ray Abnormal</t>
  </si>
  <si>
    <t>Shortness of Breath</t>
  </si>
  <si>
    <t>Smoker Status</t>
  </si>
  <si>
    <t>Chronic Cough</t>
  </si>
  <si>
    <t>Dataset Split and Dimensions</t>
  </si>
  <si>
    <t>Subset</t>
  </si>
  <si>
    <t>Rows</t>
  </si>
  <si>
    <t>Features</t>
  </si>
  <si>
    <t>Total Dataset</t>
  </si>
  <si>
    <t>Training (X_train)</t>
  </si>
  <si>
    <t>Testing (X_test)</t>
  </si>
  <si>
    <t>Preprocessing: Scaling Verification</t>
  </si>
  <si>
    <t>Metric</t>
  </si>
  <si>
    <t>Result (Training Set)</t>
  </si>
  <si>
    <t>0.0 (for all 12 numerical features)</t>
  </si>
  <si>
    <t>Standard Deviation</t>
  </si>
  <si>
    <t>1.0 (for all 12 numerical features)</t>
  </si>
  <si>
    <t>Initial Model Training History</t>
  </si>
  <si>
    <t>Epoch</t>
  </si>
  <si>
    <t>Test Accuracy</t>
  </si>
  <si>
    <t>0.9930 / 0.9900 / 0.9920</t>
  </si>
  <si>
    <t>0.9930 / 0.9910</t>
  </si>
  <si>
    <t>Hyperparameter Optimization Results</t>
  </si>
  <si>
    <t xml:space="preserve">Manual Grid Search (Best Results) </t>
  </si>
  <si>
    <t>Optuna Bayesian Optimization (Best Trial)</t>
  </si>
  <si>
    <t>Final Performance Metrics</t>
  </si>
  <si>
    <t>Class</t>
  </si>
  <si>
    <t>Precision</t>
  </si>
  <si>
    <t>Recall</t>
  </si>
  <si>
    <t>F1-Score</t>
  </si>
  <si>
    <t>0 (No Risk)</t>
  </si>
  <si>
    <t>1 (Risk)</t>
  </si>
  <si>
    <t>Total Accuracy</t>
  </si>
  <si>
    <t>Final Model Confusion Matrix (99.4% Accuracy)</t>
  </si>
  <si>
    <t>Predicted: No Risk (0)</t>
  </si>
  <si>
    <t>Predicted: Risk (1)</t>
  </si>
  <si>
    <t>Actual: No Risk (0)</t>
  </si>
  <si>
    <t>Actual: Risk (1)</t>
  </si>
  <si>
    <t>Initial Model Confusion Matrix</t>
  </si>
  <si>
    <t>10--20--30</t>
  </si>
  <si>
    <t>40--50</t>
  </si>
  <si>
    <t>Week</t>
  </si>
  <si>
    <t>Day</t>
  </si>
  <si>
    <t>Phase</t>
  </si>
  <si>
    <t>Task</t>
  </si>
  <si>
    <t>Struggle Hours (Est.)</t>
  </si>
  <si>
    <t>Foundation</t>
  </si>
  <si>
    <t>Define problem &amp; load dataset (5,000 entries, 30 columns)</t>
  </si>
  <si>
    <t>Data Mapping: Convert binary/categorical codes to labels</t>
  </si>
  <si>
    <t>Planning</t>
  </si>
  <si>
    <t>EDA: Generate boxplots and bar charts for 30 variables</t>
  </si>
  <si>
    <t>Statistical Analysis: Calculate Cramér's V associations</t>
  </si>
  <si>
    <t>Data Pipeline: Standardise numerical features (Mean ~0, Std ~1)</t>
  </si>
  <si>
    <t>Development</t>
  </si>
  <si>
    <t>Split data (80/20) and convert to PyTorch float32 tensors</t>
  </si>
  <si>
    <t>Build Sequential NN Architecture (Linear, ReLU, Dropout, Sigmoid)</t>
  </si>
  <si>
    <t>Setup Training Loop: BCELoss, Adam optimiser, and DataLoaders</t>
  </si>
  <si>
    <t>Iteration</t>
  </si>
  <si>
    <t>Run baseline experiment for 50 epochs</t>
  </si>
  <si>
    <t>Document baseline metrics (Initial Acc: ~99.1%)</t>
  </si>
  <si>
    <t>Refinement</t>
  </si>
  <si>
    <t>Implement Manual Grid Search for learning rates and hidden sizes</t>
  </si>
  <si>
    <t>Experiment</t>
  </si>
  <si>
    <t>Execute Grid Search and identify top parameter combinations</t>
  </si>
  <si>
    <t>Setup Optuna Bayesian Optimization for 30 trials</t>
  </si>
  <si>
    <t>Exploit search space for lr (log scale), hidden_dim, and dropout</t>
  </si>
  <si>
    <t>Compare Grid Search vs. Optuna trial results</t>
  </si>
  <si>
    <t>Polish</t>
  </si>
  <si>
    <t>Initialise "Best Model" using Optuna parameters (254 hidden units)</t>
  </si>
  <si>
    <t>Final Training: Run optimized model for 100 epochs</t>
  </si>
  <si>
    <t>Presentation</t>
  </si>
  <si>
    <t>Generate Final Confusion Matrix and Prediction Confidence Distribution</t>
  </si>
  <si>
    <t>Produce Final Classification Report (Target: 99.4% Accuracy)</t>
  </si>
  <si>
    <t>Finalise project documentation and ensure reproducibility</t>
  </si>
  <si>
    <t xml:space="preserve">4-week AI project plan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</si>
</sst>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"/>
  <sheetViews>
    <sheetView workbookViewId="0">
      <selection activeCell="B15" sqref="A11:B18"/>
    </sheetView>
  </sheetViews>
  <sheetFormatPr defaultRowHeight="14.4" x14ac:dyDescent="0.3"/>
  <cols>
    <col min="1" max="1" width="38" style="1" bestFit="1" customWidth="1"/>
    <col min="2" max="2" width="28.21875" style="1" bestFit="1" customWidth="1"/>
    <col min="3" max="3" width="7.109375" style="1" bestFit="1" customWidth="1"/>
    <col min="4" max="4" width="4.109375" style="1" bestFit="1" customWidth="1"/>
    <col min="5" max="5" width="12.109375" style="1" bestFit="1" customWidth="1"/>
    <col min="6" max="6" width="4.5546875" style="1" bestFit="1" customWidth="1"/>
    <col min="7" max="8" width="8.88671875" style="1"/>
    <col min="9" max="9" width="37.77734375" style="1" bestFit="1" customWidth="1"/>
    <col min="10" max="10" width="7.6640625" style="1" bestFit="1" customWidth="1"/>
    <col min="11" max="11" width="8" style="1" bestFit="1" customWidth="1"/>
    <col min="12" max="13" width="8.88671875" style="1"/>
    <col min="14" max="14" width="31.6640625" style="1" bestFit="1" customWidth="1"/>
    <col min="15" max="15" width="8.33203125" style="1" bestFit="1" customWidth="1"/>
    <col min="16" max="16" width="5.88671875" style="1" bestFit="1" customWidth="1"/>
    <col min="17" max="17" width="13.21875" style="1" bestFit="1" customWidth="1"/>
    <col min="18" max="16384" width="8.88671875" style="1"/>
  </cols>
  <sheetData>
    <row r="1" spans="1:17" x14ac:dyDescent="0.3">
      <c r="A1" s="2" t="s">
        <v>9</v>
      </c>
      <c r="B1" s="2"/>
      <c r="C1" s="2"/>
      <c r="D1" s="2"/>
      <c r="E1" s="2"/>
      <c r="F1" s="2"/>
      <c r="I1" s="2" t="s">
        <v>16</v>
      </c>
      <c r="J1" s="2"/>
      <c r="K1" s="2"/>
      <c r="N1" s="2" t="s">
        <v>21</v>
      </c>
      <c r="O1" s="2"/>
      <c r="P1" s="2"/>
      <c r="Q1" s="2"/>
    </row>
    <row r="2" spans="1:17" x14ac:dyDescent="0.3">
      <c r="A2" s="3" t="s">
        <v>10</v>
      </c>
      <c r="B2" s="3" t="s">
        <v>11</v>
      </c>
      <c r="C2" s="3" t="s">
        <v>0</v>
      </c>
      <c r="D2" s="3" t="s">
        <v>1</v>
      </c>
      <c r="E2" s="3" t="s">
        <v>12</v>
      </c>
      <c r="F2" s="3" t="s">
        <v>2</v>
      </c>
      <c r="I2" s="3" t="s">
        <v>17</v>
      </c>
      <c r="J2" s="3" t="s">
        <v>18</v>
      </c>
      <c r="K2" s="3" t="s">
        <v>19</v>
      </c>
      <c r="N2" s="3" t="s">
        <v>10</v>
      </c>
      <c r="O2" s="3" t="s">
        <v>22</v>
      </c>
      <c r="P2" s="3" t="s">
        <v>23</v>
      </c>
      <c r="Q2" s="3" t="s">
        <v>24</v>
      </c>
    </row>
    <row r="3" spans="1:17" x14ac:dyDescent="0.3">
      <c r="A3" s="1" t="s">
        <v>3</v>
      </c>
      <c r="B3" s="1">
        <v>54.57</v>
      </c>
      <c r="C3" s="1">
        <v>11.93</v>
      </c>
      <c r="D3" s="1">
        <v>18</v>
      </c>
      <c r="E3" s="1">
        <v>55</v>
      </c>
      <c r="F3" s="1">
        <v>90</v>
      </c>
      <c r="I3" s="1" t="s">
        <v>5</v>
      </c>
      <c r="J3" s="1">
        <v>3.98</v>
      </c>
      <c r="K3" s="1">
        <v>23.43</v>
      </c>
      <c r="N3" s="1" t="s">
        <v>4</v>
      </c>
      <c r="O3" s="1" t="s">
        <v>25</v>
      </c>
      <c r="P3" s="4">
        <v>2559</v>
      </c>
      <c r="Q3" s="5">
        <v>0.51180000000000003</v>
      </c>
    </row>
    <row r="4" spans="1:17" x14ac:dyDescent="0.3">
      <c r="A4" s="1" t="s">
        <v>5</v>
      </c>
      <c r="B4" s="1">
        <v>8.82</v>
      </c>
      <c r="C4" s="1">
        <v>11.65</v>
      </c>
      <c r="D4" s="1">
        <v>0</v>
      </c>
      <c r="E4" s="1">
        <v>0</v>
      </c>
      <c r="F4" s="1">
        <v>52</v>
      </c>
      <c r="I4" s="1" t="s">
        <v>20</v>
      </c>
      <c r="J4" s="1">
        <v>2.78</v>
      </c>
      <c r="K4" s="1">
        <v>18.47</v>
      </c>
      <c r="O4" s="1" t="s">
        <v>26</v>
      </c>
      <c r="P4" s="4">
        <v>2441</v>
      </c>
      <c r="Q4" s="5">
        <v>0.48820000000000002</v>
      </c>
    </row>
    <row r="5" spans="1:17" x14ac:dyDescent="0.3">
      <c r="A5" s="1" t="s">
        <v>6</v>
      </c>
      <c r="B5" s="1">
        <v>6.25</v>
      </c>
      <c r="C5" s="1">
        <v>9.9600000000000009</v>
      </c>
      <c r="D5" s="1">
        <v>0</v>
      </c>
      <c r="E5" s="1">
        <v>0</v>
      </c>
      <c r="F5" s="1">
        <v>60</v>
      </c>
      <c r="I5" s="1" t="s">
        <v>6</v>
      </c>
      <c r="J5" s="1">
        <v>1.49</v>
      </c>
      <c r="K5" s="1">
        <v>20.63</v>
      </c>
      <c r="N5" s="1" t="s">
        <v>27</v>
      </c>
      <c r="O5" s="1" t="s">
        <v>28</v>
      </c>
      <c r="P5" s="4">
        <v>2726</v>
      </c>
      <c r="Q5" s="5">
        <v>0.54520000000000002</v>
      </c>
    </row>
    <row r="6" spans="1:17" x14ac:dyDescent="0.3">
      <c r="A6" s="1" t="s">
        <v>13</v>
      </c>
      <c r="B6" s="1">
        <v>96.09</v>
      </c>
      <c r="C6" s="1">
        <v>3.41</v>
      </c>
      <c r="D6" s="1">
        <v>85</v>
      </c>
      <c r="E6" s="1">
        <v>97</v>
      </c>
      <c r="F6" s="1">
        <v>100</v>
      </c>
      <c r="I6" s="1" t="s">
        <v>13</v>
      </c>
      <c r="J6" s="1">
        <v>97.59</v>
      </c>
      <c r="K6" s="1">
        <v>91.55</v>
      </c>
      <c r="O6" s="1" t="s">
        <v>29</v>
      </c>
      <c r="P6" s="4">
        <v>2274</v>
      </c>
      <c r="Q6" s="5">
        <v>0.45479999999999998</v>
      </c>
    </row>
    <row r="7" spans="1:17" x14ac:dyDescent="0.3">
      <c r="A7" s="1" t="s">
        <v>14</v>
      </c>
      <c r="B7" s="1">
        <v>4.59</v>
      </c>
      <c r="C7" s="1">
        <v>5.33</v>
      </c>
      <c r="D7" s="1">
        <v>0</v>
      </c>
      <c r="E7" s="1">
        <v>3</v>
      </c>
      <c r="F7" s="1">
        <v>33</v>
      </c>
      <c r="I7" s="1" t="s">
        <v>15</v>
      </c>
      <c r="J7" s="1">
        <v>33.840000000000003</v>
      </c>
      <c r="K7" s="1">
        <v>24.35</v>
      </c>
      <c r="N7" s="1" t="s">
        <v>30</v>
      </c>
      <c r="O7" s="1" t="s">
        <v>28</v>
      </c>
      <c r="P7" s="4">
        <v>4203</v>
      </c>
      <c r="Q7" s="5">
        <v>0.84060000000000001</v>
      </c>
    </row>
    <row r="8" spans="1:17" x14ac:dyDescent="0.3">
      <c r="A8" s="1" t="s">
        <v>15</v>
      </c>
      <c r="B8" s="1">
        <v>31.48</v>
      </c>
      <c r="C8" s="1">
        <v>5.21</v>
      </c>
      <c r="D8" s="1">
        <v>5</v>
      </c>
      <c r="E8" s="1">
        <v>33</v>
      </c>
      <c r="F8" s="1">
        <v>37</v>
      </c>
      <c r="I8" s="1" t="s">
        <v>7</v>
      </c>
      <c r="J8" s="1">
        <v>2.2000000000000002</v>
      </c>
      <c r="K8" s="1">
        <v>11.83</v>
      </c>
      <c r="O8" s="1" t="s">
        <v>29</v>
      </c>
      <c r="P8" s="1">
        <v>797</v>
      </c>
      <c r="Q8" s="5">
        <v>0.15939999999999999</v>
      </c>
    </row>
    <row r="9" spans="1:17" x14ac:dyDescent="0.3">
      <c r="N9" s="1" t="s">
        <v>8</v>
      </c>
      <c r="O9" s="1" t="s">
        <v>28</v>
      </c>
      <c r="P9" s="4">
        <v>3731</v>
      </c>
      <c r="Q9" s="5">
        <v>0.74619999999999997</v>
      </c>
    </row>
    <row r="10" spans="1:17" x14ac:dyDescent="0.3">
      <c r="O10" s="1" t="s">
        <v>29</v>
      </c>
      <c r="P10" s="4">
        <v>1269</v>
      </c>
      <c r="Q10" s="5">
        <v>0.25380000000000003</v>
      </c>
    </row>
    <row r="11" spans="1:17" x14ac:dyDescent="0.3">
      <c r="A11" s="2" t="s">
        <v>31</v>
      </c>
      <c r="B11" s="2"/>
    </row>
    <row r="12" spans="1:17" x14ac:dyDescent="0.3">
      <c r="A12" s="3" t="s">
        <v>32</v>
      </c>
      <c r="B12" s="3" t="s">
        <v>33</v>
      </c>
    </row>
    <row r="13" spans="1:17" x14ac:dyDescent="0.3">
      <c r="A13" s="1" t="s">
        <v>34</v>
      </c>
      <c r="B13" s="1">
        <v>0.75</v>
      </c>
    </row>
    <row r="14" spans="1:17" x14ac:dyDescent="0.3">
      <c r="A14" s="1" t="s">
        <v>35</v>
      </c>
      <c r="B14" s="1">
        <v>0.66</v>
      </c>
    </row>
    <row r="15" spans="1:17" x14ac:dyDescent="0.3">
      <c r="A15" s="1" t="s">
        <v>36</v>
      </c>
      <c r="B15" s="1">
        <v>0.63</v>
      </c>
    </row>
    <row r="16" spans="1:17" x14ac:dyDescent="0.3">
      <c r="A16" s="1" t="s">
        <v>37</v>
      </c>
      <c r="B16" s="1">
        <v>0.63</v>
      </c>
    </row>
    <row r="17" spans="1:2" x14ac:dyDescent="0.3">
      <c r="A17" s="1" t="s">
        <v>30</v>
      </c>
      <c r="B17" s="1">
        <v>0.62</v>
      </c>
    </row>
    <row r="18" spans="1:2" x14ac:dyDescent="0.3">
      <c r="A18" s="1" t="s">
        <v>4</v>
      </c>
      <c r="B18" s="1">
        <v>0.02</v>
      </c>
    </row>
  </sheetData>
  <mergeCells count="4">
    <mergeCell ref="A1:F1"/>
    <mergeCell ref="I1:K1"/>
    <mergeCell ref="N1:Q1"/>
    <mergeCell ref="A11:B11"/>
  </mergeCells>
  <conditionalFormatting sqref="A1:F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K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Q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1:B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F6E29-60A1-4FC6-810E-41B5B35A8DA8}">
  <dimension ref="A1:O13"/>
  <sheetViews>
    <sheetView workbookViewId="0">
      <selection activeCell="J10" sqref="J8:L11"/>
    </sheetView>
  </sheetViews>
  <sheetFormatPr defaultRowHeight="14.4" x14ac:dyDescent="0.3"/>
  <cols>
    <col min="1" max="1" width="15.88671875" style="1" bestFit="1" customWidth="1"/>
    <col min="2" max="2" width="18.5546875" style="1" bestFit="1" customWidth="1"/>
    <col min="3" max="3" width="15.5546875" style="1" bestFit="1" customWidth="1"/>
    <col min="4" max="4" width="8.88671875" style="1"/>
    <col min="5" max="5" width="29.109375" style="1" bestFit="1" customWidth="1"/>
    <col min="6" max="6" width="28.44140625" style="1" bestFit="1" customWidth="1"/>
    <col min="7" max="7" width="5.88671875" style="1" bestFit="1" customWidth="1"/>
    <col min="8" max="8" width="8.109375" style="1" bestFit="1" customWidth="1"/>
    <col min="9" max="9" width="8.88671875" style="1"/>
    <col min="10" max="10" width="40" style="1" bestFit="1" customWidth="1"/>
    <col min="11" max="11" width="21.33203125" style="1" bestFit="1" customWidth="1"/>
    <col min="12" max="12" width="16.109375" style="1" bestFit="1" customWidth="1"/>
    <col min="13" max="13" width="8.88671875" style="1"/>
    <col min="14" max="14" width="35.33203125" style="1" bestFit="1" customWidth="1"/>
    <col min="15" max="15" width="6" style="1" bestFit="1" customWidth="1"/>
    <col min="16" max="16384" width="8.88671875" style="1"/>
  </cols>
  <sheetData>
    <row r="1" spans="1:15" x14ac:dyDescent="0.3">
      <c r="A1" s="2" t="s">
        <v>38</v>
      </c>
      <c r="B1" s="2"/>
      <c r="C1" s="2"/>
      <c r="E1" s="2" t="s">
        <v>45</v>
      </c>
      <c r="F1" s="2"/>
      <c r="J1" s="2" t="s">
        <v>51</v>
      </c>
      <c r="K1" s="2"/>
      <c r="N1" s="2" t="s">
        <v>56</v>
      </c>
      <c r="O1" s="2"/>
    </row>
    <row r="2" spans="1:15" x14ac:dyDescent="0.3">
      <c r="A2" s="3" t="s">
        <v>39</v>
      </c>
      <c r="B2" s="3" t="s">
        <v>40</v>
      </c>
      <c r="C2" s="3" t="s">
        <v>41</v>
      </c>
      <c r="E2" s="3" t="s">
        <v>46</v>
      </c>
      <c r="F2" s="3" t="s">
        <v>47</v>
      </c>
      <c r="J2" s="3" t="s">
        <v>52</v>
      </c>
      <c r="K2" s="3" t="s">
        <v>53</v>
      </c>
      <c r="N2" s="1" t="s">
        <v>57</v>
      </c>
      <c r="O2" s="1">
        <v>0.99299999999999999</v>
      </c>
    </row>
    <row r="3" spans="1:15" x14ac:dyDescent="0.3">
      <c r="A3" s="1" t="s">
        <v>42</v>
      </c>
      <c r="B3" s="4">
        <v>5000</v>
      </c>
      <c r="C3" s="1">
        <v>30</v>
      </c>
      <c r="E3" s="1" t="s">
        <v>11</v>
      </c>
      <c r="F3" s="1" t="s">
        <v>48</v>
      </c>
      <c r="J3" s="6" t="s">
        <v>73</v>
      </c>
      <c r="K3" s="1" t="s">
        <v>54</v>
      </c>
      <c r="N3" s="1" t="s">
        <v>58</v>
      </c>
      <c r="O3" s="1">
        <v>0.99399999999999999</v>
      </c>
    </row>
    <row r="4" spans="1:15" x14ac:dyDescent="0.3">
      <c r="A4" s="1" t="s">
        <v>43</v>
      </c>
      <c r="B4" s="4">
        <v>4000</v>
      </c>
      <c r="C4" s="1">
        <v>29</v>
      </c>
      <c r="E4" s="1" t="s">
        <v>49</v>
      </c>
      <c r="F4" s="1" t="s">
        <v>50</v>
      </c>
      <c r="J4" s="1" t="s">
        <v>74</v>
      </c>
      <c r="K4" s="1" t="s">
        <v>55</v>
      </c>
    </row>
    <row r="5" spans="1:15" x14ac:dyDescent="0.3">
      <c r="A5" s="1" t="s">
        <v>44</v>
      </c>
      <c r="B5" s="4">
        <v>1000</v>
      </c>
      <c r="C5" s="1">
        <v>29</v>
      </c>
    </row>
    <row r="8" spans="1:15" x14ac:dyDescent="0.3">
      <c r="A8" s="2" t="s">
        <v>72</v>
      </c>
      <c r="B8" s="2"/>
      <c r="C8" s="2"/>
      <c r="E8" s="2" t="s">
        <v>59</v>
      </c>
      <c r="F8" s="2"/>
      <c r="G8" s="2"/>
      <c r="H8" s="2"/>
      <c r="J8" s="2" t="s">
        <v>67</v>
      </c>
      <c r="K8" s="2"/>
      <c r="L8" s="2"/>
    </row>
    <row r="9" spans="1:15" x14ac:dyDescent="0.3">
      <c r="B9" s="3" t="s">
        <v>68</v>
      </c>
      <c r="C9" s="3" t="s">
        <v>69</v>
      </c>
      <c r="E9" s="3" t="s">
        <v>60</v>
      </c>
      <c r="F9" s="3" t="s">
        <v>61</v>
      </c>
      <c r="G9" s="3" t="s">
        <v>62</v>
      </c>
      <c r="H9" s="3" t="s">
        <v>63</v>
      </c>
      <c r="K9" s="3" t="s">
        <v>68</v>
      </c>
      <c r="L9" s="3" t="s">
        <v>69</v>
      </c>
    </row>
    <row r="10" spans="1:15" x14ac:dyDescent="0.3">
      <c r="A10" s="3" t="s">
        <v>70</v>
      </c>
      <c r="B10" s="1">
        <v>749</v>
      </c>
      <c r="C10" s="1">
        <v>2</v>
      </c>
      <c r="E10" s="3" t="s">
        <v>64</v>
      </c>
      <c r="F10" s="1">
        <v>0.99</v>
      </c>
      <c r="G10" s="1">
        <v>0.99</v>
      </c>
      <c r="H10" s="1">
        <v>0.99</v>
      </c>
      <c r="J10" s="3" t="s">
        <v>70</v>
      </c>
      <c r="K10" s="1">
        <v>747</v>
      </c>
      <c r="L10" s="1">
        <v>4</v>
      </c>
    </row>
    <row r="11" spans="1:15" x14ac:dyDescent="0.3">
      <c r="A11" s="3" t="s">
        <v>71</v>
      </c>
      <c r="B11" s="1">
        <v>7</v>
      </c>
      <c r="C11" s="1">
        <v>242</v>
      </c>
      <c r="E11" s="3" t="s">
        <v>65</v>
      </c>
      <c r="F11" s="1">
        <v>0.98</v>
      </c>
      <c r="G11" s="1">
        <v>0.98</v>
      </c>
      <c r="H11" s="1">
        <v>0.98</v>
      </c>
      <c r="J11" s="3" t="s">
        <v>71</v>
      </c>
      <c r="K11" s="1">
        <v>5</v>
      </c>
      <c r="L11" s="1">
        <v>244</v>
      </c>
    </row>
    <row r="12" spans="1:15" x14ac:dyDescent="0.3">
      <c r="E12" s="3" t="s">
        <v>66</v>
      </c>
      <c r="F12" s="5">
        <v>0.99399999999999999</v>
      </c>
    </row>
    <row r="13" spans="1:15" x14ac:dyDescent="0.3">
      <c r="K13" s="5"/>
    </row>
  </sheetData>
  <mergeCells count="7">
    <mergeCell ref="A1:C1"/>
    <mergeCell ref="E1:F1"/>
    <mergeCell ref="J1:K1"/>
    <mergeCell ref="N1:O1"/>
    <mergeCell ref="A8:C8"/>
    <mergeCell ref="E8:H8"/>
    <mergeCell ref="J8:L8"/>
  </mergeCells>
  <conditionalFormatting sqref="N1:O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8:C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H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:L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CAB5D-104A-4931-A24C-B5AD81AD6892}">
  <dimension ref="A1:E22"/>
  <sheetViews>
    <sheetView tabSelected="1" workbookViewId="0">
      <selection activeCell="D15" sqref="D15"/>
    </sheetView>
  </sheetViews>
  <sheetFormatPr defaultRowHeight="15.6" x14ac:dyDescent="0.3"/>
  <cols>
    <col min="1" max="1" width="6.5546875" style="8" bestFit="1" customWidth="1"/>
    <col min="2" max="2" width="4.77734375" style="8" bestFit="1" customWidth="1"/>
    <col min="3" max="3" width="12.6640625" style="8" bestFit="1" customWidth="1"/>
    <col min="4" max="4" width="66.33203125" style="8" bestFit="1" customWidth="1"/>
    <col min="5" max="5" width="21.109375" style="8" bestFit="1" customWidth="1"/>
    <col min="6" max="16384" width="8.88671875" style="8"/>
  </cols>
  <sheetData>
    <row r="1" spans="1:5" x14ac:dyDescent="0.3">
      <c r="A1" s="9" t="s">
        <v>108</v>
      </c>
      <c r="B1" s="9"/>
      <c r="C1" s="9"/>
      <c r="D1" s="9"/>
      <c r="E1" s="9"/>
    </row>
    <row r="2" spans="1:5" x14ac:dyDescent="0.3">
      <c r="A2" s="7" t="s">
        <v>75</v>
      </c>
      <c r="B2" s="7" t="s">
        <v>76</v>
      </c>
      <c r="C2" s="7" t="s">
        <v>77</v>
      </c>
      <c r="D2" s="7" t="s">
        <v>78</v>
      </c>
      <c r="E2" s="7" t="s">
        <v>79</v>
      </c>
    </row>
    <row r="3" spans="1:5" x14ac:dyDescent="0.3">
      <c r="A3" s="8">
        <v>1</v>
      </c>
      <c r="B3" s="8">
        <v>1</v>
      </c>
      <c r="C3" s="8" t="s">
        <v>80</v>
      </c>
      <c r="D3" s="8" t="s">
        <v>81</v>
      </c>
      <c r="E3" s="8">
        <v>2</v>
      </c>
    </row>
    <row r="4" spans="1:5" x14ac:dyDescent="0.3">
      <c r="A4" s="8">
        <v>1</v>
      </c>
      <c r="B4" s="8">
        <v>2</v>
      </c>
      <c r="C4" s="8" t="s">
        <v>80</v>
      </c>
      <c r="D4" s="8" t="s">
        <v>82</v>
      </c>
      <c r="E4" s="8">
        <v>4</v>
      </c>
    </row>
    <row r="5" spans="1:5" x14ac:dyDescent="0.3">
      <c r="A5" s="8">
        <v>1</v>
      </c>
      <c r="B5" s="8">
        <v>3</v>
      </c>
      <c r="C5" s="8" t="s">
        <v>83</v>
      </c>
      <c r="D5" s="8" t="s">
        <v>84</v>
      </c>
      <c r="E5" s="8">
        <v>5</v>
      </c>
    </row>
    <row r="6" spans="1:5" x14ac:dyDescent="0.3">
      <c r="A6" s="8">
        <v>1</v>
      </c>
      <c r="B6" s="8">
        <v>4</v>
      </c>
      <c r="C6" s="8" t="s">
        <v>83</v>
      </c>
      <c r="D6" s="8" t="s">
        <v>85</v>
      </c>
      <c r="E6" s="8">
        <v>6</v>
      </c>
    </row>
    <row r="7" spans="1:5" x14ac:dyDescent="0.3">
      <c r="A7" s="8">
        <v>1</v>
      </c>
      <c r="B7" s="8">
        <v>5</v>
      </c>
      <c r="C7" s="8" t="s">
        <v>80</v>
      </c>
      <c r="D7" s="8" t="s">
        <v>86</v>
      </c>
      <c r="E7" s="8">
        <v>3</v>
      </c>
    </row>
    <row r="8" spans="1:5" x14ac:dyDescent="0.3">
      <c r="A8" s="8">
        <v>2</v>
      </c>
      <c r="B8" s="8">
        <v>1</v>
      </c>
      <c r="C8" s="8" t="s">
        <v>87</v>
      </c>
      <c r="D8" s="8" t="s">
        <v>88</v>
      </c>
      <c r="E8" s="8">
        <v>4</v>
      </c>
    </row>
    <row r="9" spans="1:5" x14ac:dyDescent="0.3">
      <c r="A9" s="8">
        <v>2</v>
      </c>
      <c r="B9" s="8">
        <v>2</v>
      </c>
      <c r="C9" s="8" t="s">
        <v>87</v>
      </c>
      <c r="D9" s="8" t="s">
        <v>89</v>
      </c>
      <c r="E9" s="8">
        <v>6</v>
      </c>
    </row>
    <row r="10" spans="1:5" x14ac:dyDescent="0.3">
      <c r="A10" s="8">
        <v>2</v>
      </c>
      <c r="B10" s="8">
        <v>3</v>
      </c>
      <c r="C10" s="8" t="s">
        <v>87</v>
      </c>
      <c r="D10" s="8" t="s">
        <v>90</v>
      </c>
      <c r="E10" s="8">
        <v>5</v>
      </c>
    </row>
    <row r="11" spans="1:5" x14ac:dyDescent="0.3">
      <c r="A11" s="8">
        <v>2</v>
      </c>
      <c r="B11" s="8">
        <v>4</v>
      </c>
      <c r="C11" s="8" t="s">
        <v>91</v>
      </c>
      <c r="D11" s="8" t="s">
        <v>92</v>
      </c>
      <c r="E11" s="8">
        <v>3</v>
      </c>
    </row>
    <row r="12" spans="1:5" x14ac:dyDescent="0.3">
      <c r="A12" s="8">
        <v>2</v>
      </c>
      <c r="B12" s="8">
        <v>5</v>
      </c>
      <c r="C12" s="8" t="s">
        <v>91</v>
      </c>
      <c r="D12" s="8" t="s">
        <v>93</v>
      </c>
      <c r="E12" s="8">
        <v>2</v>
      </c>
    </row>
    <row r="13" spans="1:5" x14ac:dyDescent="0.3">
      <c r="A13" s="8">
        <v>3</v>
      </c>
      <c r="B13" s="8">
        <v>1</v>
      </c>
      <c r="C13" s="8" t="s">
        <v>94</v>
      </c>
      <c r="D13" s="8" t="s">
        <v>95</v>
      </c>
      <c r="E13" s="8">
        <v>5</v>
      </c>
    </row>
    <row r="14" spans="1:5" x14ac:dyDescent="0.3">
      <c r="A14" s="8">
        <v>3</v>
      </c>
      <c r="B14" s="8">
        <v>2</v>
      </c>
      <c r="C14" s="8" t="s">
        <v>96</v>
      </c>
      <c r="D14" s="8" t="s">
        <v>97</v>
      </c>
      <c r="E14" s="8">
        <v>4</v>
      </c>
    </row>
    <row r="15" spans="1:5" x14ac:dyDescent="0.3">
      <c r="A15" s="8">
        <v>3</v>
      </c>
      <c r="B15" s="8">
        <v>3</v>
      </c>
      <c r="C15" s="8" t="s">
        <v>94</v>
      </c>
      <c r="D15" s="8" t="s">
        <v>98</v>
      </c>
      <c r="E15" s="8">
        <v>8</v>
      </c>
    </row>
    <row r="16" spans="1:5" x14ac:dyDescent="0.3">
      <c r="A16" s="8">
        <v>3</v>
      </c>
      <c r="B16" s="8">
        <v>4</v>
      </c>
      <c r="C16" s="8" t="s">
        <v>94</v>
      </c>
      <c r="D16" s="8" t="s">
        <v>99</v>
      </c>
      <c r="E16" s="8">
        <v>6</v>
      </c>
    </row>
    <row r="17" spans="1:5" x14ac:dyDescent="0.3">
      <c r="A17" s="8">
        <v>3</v>
      </c>
      <c r="B17" s="8">
        <v>5</v>
      </c>
      <c r="C17" s="8" t="s">
        <v>96</v>
      </c>
      <c r="D17" s="8" t="s">
        <v>100</v>
      </c>
      <c r="E17" s="8">
        <v>3</v>
      </c>
    </row>
    <row r="18" spans="1:5" x14ac:dyDescent="0.3">
      <c r="A18" s="8">
        <v>4</v>
      </c>
      <c r="B18" s="8">
        <v>1</v>
      </c>
      <c r="C18" s="8" t="s">
        <v>101</v>
      </c>
      <c r="D18" s="8" t="s">
        <v>102</v>
      </c>
      <c r="E18" s="8">
        <v>4</v>
      </c>
    </row>
    <row r="19" spans="1:5" x14ac:dyDescent="0.3">
      <c r="A19" s="8">
        <v>4</v>
      </c>
      <c r="B19" s="8">
        <v>2</v>
      </c>
      <c r="C19" s="8" t="s">
        <v>101</v>
      </c>
      <c r="D19" s="8" t="s">
        <v>103</v>
      </c>
      <c r="E19" s="8">
        <v>3</v>
      </c>
    </row>
    <row r="20" spans="1:5" x14ac:dyDescent="0.3">
      <c r="A20" s="8">
        <v>4</v>
      </c>
      <c r="B20" s="8">
        <v>3</v>
      </c>
      <c r="C20" s="8" t="s">
        <v>104</v>
      </c>
      <c r="D20" s="8" t="s">
        <v>105</v>
      </c>
      <c r="E20" s="8">
        <v>4</v>
      </c>
    </row>
    <row r="21" spans="1:5" x14ac:dyDescent="0.3">
      <c r="A21" s="8">
        <v>4</v>
      </c>
      <c r="B21" s="8">
        <v>4</v>
      </c>
      <c r="C21" s="8" t="s">
        <v>104</v>
      </c>
      <c r="D21" s="8" t="s">
        <v>106</v>
      </c>
      <c r="E21" s="8">
        <v>2</v>
      </c>
    </row>
    <row r="22" spans="1:5" x14ac:dyDescent="0.3">
      <c r="A22" s="8">
        <v>4</v>
      </c>
      <c r="B22" s="8">
        <v>5</v>
      </c>
      <c r="C22" s="8" t="s">
        <v>104</v>
      </c>
      <c r="D22" s="8" t="s">
        <v>107</v>
      </c>
      <c r="E22" s="8">
        <v>3</v>
      </c>
    </row>
  </sheetData>
  <mergeCells count="1">
    <mergeCell ref="A1:E1"/>
  </mergeCells>
  <conditionalFormatting sqref="A2:E2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22">
    <cfRule type="duplicateValues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EDA</vt:lpstr>
      <vt:lpstr>Modelling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2026-01-16T12:20:40Z</dcterms:modified>
</cp:coreProperties>
</file>